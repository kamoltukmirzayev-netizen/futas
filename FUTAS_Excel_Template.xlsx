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or" sheetId="1" state="visible" r:id="rId1"/>
    <sheet name="Coefficients" sheetId="2" state="visible" r:id="rId2"/>
    <sheet name="Worked_Example" sheetId="3" state="visible" r:id="rId3"/>
    <sheet name="How_to_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0&quot;%&quot;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10"/>
    </font>
    <font>
      <name val="Calibri"/>
      <b val="1"/>
      <color rgb="001f2d3d"/>
      <sz val="11"/>
    </font>
    <font>
      <name val="Calibri"/>
      <b val="1"/>
      <color rgb="001a1a1a"/>
      <sz val="10"/>
    </font>
    <font>
      <name val="Calibri"/>
      <b val="1"/>
      <color rgb="002962ff"/>
      <sz val="11"/>
    </font>
    <font>
      <name val="Calibri"/>
      <color rgb="001a1a1a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i val="1"/>
      <color rgb="00555555"/>
      <sz val="9"/>
    </font>
    <font>
      <name val="Calibri"/>
      <b val="1"/>
      <color rgb="00d73027"/>
      <sz val="10"/>
    </font>
  </fonts>
  <fills count="6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3f6fb"/>
      </patternFill>
    </fill>
    <fill>
      <patternFill patternType="solid">
        <fgColor rgb="00e8eefc"/>
      </patternFill>
    </fill>
    <fill>
      <patternFill patternType="solid">
        <fgColor rgb="002962ff"/>
      </patternFill>
    </fill>
  </fills>
  <borders count="2">
    <border>
      <left/>
      <right/>
      <top/>
      <bottom/>
      <diagonal/>
    </border>
    <border>
      <left style="thin">
        <color rgb="00c7d0db"/>
      </left>
      <right style="thin">
        <color rgb="00c7d0db"/>
      </right>
      <top style="thin">
        <color rgb="00c7d0db"/>
      </top>
      <bottom style="thin">
        <color rgb="00c7d0d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3" borderId="1" applyAlignment="1" pivotButton="0" quotePrefix="0" xfId="0">
      <alignment horizontal="left" vertical="center" wrapText="1"/>
    </xf>
    <xf numFmtId="4" fontId="5" fillId="4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166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2" customWidth="1" min="3" max="3"/>
    <col width="13" customWidth="1" min="4" max="4"/>
    <col width="15" customWidth="1" min="5" max="5"/>
    <col width="14" customWidth="1" min="6" max="6"/>
    <col width="2" customWidth="1" min="7" max="7"/>
  </cols>
  <sheetData>
    <row r="1" ht="26" customHeight="1">
      <c r="A1" s="1" t="inlineStr">
        <is>
          <t>FUTAS — Fibonacci Urvin Adaptive Trading Calculator</t>
        </is>
      </c>
    </row>
    <row r="2" ht="16" customHeight="1">
      <c r="A2" s="2" t="inlineStr">
        <is>
          <t>Scientific formula:  P = Low + (High − Low) × K        |        15 fixed Fibonacci Urvin coefficients        |        research tool, not financial advice</t>
        </is>
      </c>
    </row>
    <row r="4">
      <c r="A4" s="3" t="inlineStr">
        <is>
          <t>INPUTS  (type these — High/Low come from the data, Direction from the app)</t>
        </is>
      </c>
    </row>
    <row r="5">
      <c r="A5" s="4" t="inlineStr">
        <is>
          <t>High</t>
        </is>
      </c>
      <c r="B5" s="5" t="n">
        <v>2549.97</v>
      </c>
    </row>
    <row r="6">
      <c r="A6" s="4" t="inlineStr">
        <is>
          <t>Low</t>
        </is>
      </c>
      <c r="B6" s="5" t="n">
        <v>2341.74</v>
      </c>
    </row>
    <row r="7">
      <c r="A7" s="4" t="inlineStr">
        <is>
          <t>Current Price (entry)</t>
        </is>
      </c>
      <c r="B7" s="5" t="n">
        <v>2496.63</v>
      </c>
    </row>
    <row r="8">
      <c r="A8" s="4" t="inlineStr">
        <is>
          <t>Range = High − Low</t>
        </is>
      </c>
      <c r="B8" s="6">
        <f>B5-B6</f>
        <v/>
      </c>
    </row>
    <row r="9">
      <c r="A9" s="4" t="inlineStr">
        <is>
          <t>Direction  (BUY / SELL / WAIT)</t>
        </is>
      </c>
      <c r="B9" s="7" t="inlineStr">
        <is>
          <t>BUY</t>
        </is>
      </c>
    </row>
    <row r="10">
      <c r="A10" s="4" t="inlineStr">
        <is>
          <t>Minimum Risk/Reward (TP1 gate)</t>
        </is>
      </c>
      <c r="B10" s="8" t="n">
        <v>1</v>
      </c>
    </row>
    <row r="11">
      <c r="A11" s="4" t="inlineStr">
        <is>
          <t>Tolerance % of range (info only)</t>
        </is>
      </c>
      <c r="B11" s="9" t="n">
        <v>0.06</v>
      </c>
    </row>
    <row r="13">
      <c r="A13" s="10" t="inlineStr">
        <is>
          <t>#</t>
        </is>
      </c>
      <c r="B13" s="10" t="inlineStr">
        <is>
          <t>K</t>
        </is>
      </c>
      <c r="C13" s="10" t="inlineStr">
        <is>
          <t>P = Low+(High−Low)×K</t>
        </is>
      </c>
      <c r="D13" s="10" t="inlineStr">
        <is>
          <t>% of range</t>
        </is>
      </c>
      <c r="E13" s="10" t="inlineStr">
        <is>
          <t>Zone</t>
        </is>
      </c>
      <c r="F13" s="10" t="inlineStr">
        <is>
          <t>Role vs price</t>
        </is>
      </c>
    </row>
    <row r="14">
      <c r="A14" s="11" t="n">
        <v>1</v>
      </c>
      <c r="B14" s="12" t="n">
        <v>1</v>
      </c>
      <c r="C14" s="6">
        <f>$B$6+($B$5-$B$6)*B14</f>
        <v/>
      </c>
      <c r="D14" s="13">
        <f>B14*100</f>
        <v/>
      </c>
      <c r="E14" s="11">
        <f>IF(B14&gt;1,"extension_up",IF(B14&lt;0,"extension_down","inside"))</f>
        <v/>
      </c>
      <c r="F14" s="11">
        <f>IF(ABS(C14-$B$7)&lt;0.000001,"at-price",IF(C14&lt;$B$7,"support","resistance"))</f>
        <v/>
      </c>
    </row>
    <row r="15">
      <c r="A15" s="11" t="n">
        <v>2</v>
      </c>
      <c r="B15" s="12" t="n">
        <v>0</v>
      </c>
      <c r="C15" s="6">
        <f>$B$6+($B$5-$B$6)*B15</f>
        <v/>
      </c>
      <c r="D15" s="13">
        <f>B15*100</f>
        <v/>
      </c>
      <c r="E15" s="11">
        <f>IF(B15&gt;1,"extension_up",IF(B15&lt;0,"extension_down","inside"))</f>
        <v/>
      </c>
      <c r="F15" s="11">
        <f>IF(ABS(C15-$B$7)&lt;0.000001,"at-price",IF(C15&lt;$B$7,"support","resistance"))</f>
        <v/>
      </c>
    </row>
    <row r="16">
      <c r="A16" s="11" t="n">
        <v>3</v>
      </c>
      <c r="B16" s="12" t="n">
        <v>0.5</v>
      </c>
      <c r="C16" s="6">
        <f>$B$6+($B$5-$B$6)*B16</f>
        <v/>
      </c>
      <c r="D16" s="13">
        <f>B16*100</f>
        <v/>
      </c>
      <c r="E16" s="11">
        <f>IF(B16&gt;1,"extension_up",IF(B16&lt;0,"extension_down","inside"))</f>
        <v/>
      </c>
      <c r="F16" s="11">
        <f>IF(ABS(C16-$B$7)&lt;0.000001,"at-price",IF(C16&lt;$B$7,"support","resistance"))</f>
        <v/>
      </c>
    </row>
    <row r="17">
      <c r="A17" s="11" t="n">
        <v>4</v>
      </c>
      <c r="B17" s="12" t="n">
        <v>0.5993000000000001</v>
      </c>
      <c r="C17" s="6">
        <f>$B$6+($B$5-$B$6)*B17</f>
        <v/>
      </c>
      <c r="D17" s="13">
        <f>B17*100</f>
        <v/>
      </c>
      <c r="E17" s="11">
        <f>IF(B17&gt;1,"extension_up",IF(B17&lt;0,"extension_down","inside"))</f>
        <v/>
      </c>
      <c r="F17" s="11">
        <f>IF(ABS(C17-$B$7)&lt;0.000001,"at-price",IF(C17&lt;$B$7,"support","resistance"))</f>
        <v/>
      </c>
    </row>
    <row r="18">
      <c r="A18" s="11" t="n">
        <v>5</v>
      </c>
      <c r="B18" s="12" t="n">
        <v>-0.6993</v>
      </c>
      <c r="C18" s="6">
        <f>$B$6+($B$5-$B$6)*B18</f>
        <v/>
      </c>
      <c r="D18" s="13">
        <f>B18*100</f>
        <v/>
      </c>
      <c r="E18" s="11">
        <f>IF(B18&gt;1,"extension_up",IF(B18&lt;0,"extension_down","inside"))</f>
        <v/>
      </c>
      <c r="F18" s="11">
        <f>IF(ABS(C18-$B$7)&lt;0.000001,"at-price",IF(C18&lt;$B$7,"support","resistance"))</f>
        <v/>
      </c>
    </row>
    <row r="19">
      <c r="A19" s="11" t="n">
        <v>6</v>
      </c>
      <c r="B19" s="12" t="n">
        <v>1.5993</v>
      </c>
      <c r="C19" s="6">
        <f>$B$6+($B$5-$B$6)*B19</f>
        <v/>
      </c>
      <c r="D19" s="13">
        <f>B19*100</f>
        <v/>
      </c>
      <c r="E19" s="11">
        <f>IF(B19&gt;1,"extension_up",IF(B19&lt;0,"extension_down","inside"))</f>
        <v/>
      </c>
      <c r="F19" s="11">
        <f>IF(ABS(C19-$B$7)&lt;0.000001,"at-price",IF(C19&lt;$B$7,"support","resistance"))</f>
        <v/>
      </c>
    </row>
    <row r="20">
      <c r="A20" s="11" t="n">
        <v>7</v>
      </c>
      <c r="B20" s="12" t="n">
        <v>-0.5993000000000001</v>
      </c>
      <c r="C20" s="6">
        <f>$B$6+($B$5-$B$6)*B20</f>
        <v/>
      </c>
      <c r="D20" s="13">
        <f>B20*100</f>
        <v/>
      </c>
      <c r="E20" s="11">
        <f>IF(B20&gt;1,"extension_up",IF(B20&lt;0,"extension_down","inside"))</f>
        <v/>
      </c>
      <c r="F20" s="11">
        <f>IF(ABS(C20-$B$7)&lt;0.000001,"at-price",IF(C20&lt;$B$7,"support","resistance"))</f>
        <v/>
      </c>
    </row>
    <row r="21">
      <c r="A21" s="11" t="n">
        <v>8</v>
      </c>
      <c r="B21" s="12" t="n">
        <v>1.1987</v>
      </c>
      <c r="C21" s="6">
        <f>$B$6+($B$5-$B$6)*B21</f>
        <v/>
      </c>
      <c r="D21" s="13">
        <f>B21*100</f>
        <v/>
      </c>
      <c r="E21" s="11">
        <f>IF(B21&gt;1,"extension_up",IF(B21&lt;0,"extension_down","inside"))</f>
        <v/>
      </c>
      <c r="F21" s="11">
        <f>IF(ABS(C21-$B$7)&lt;0.000001,"at-price",IF(C21&lt;$B$7,"support","resistance"))</f>
        <v/>
      </c>
    </row>
    <row r="22">
      <c r="A22" s="11" t="n">
        <v>9</v>
      </c>
      <c r="B22" s="12" t="n">
        <v>1.6987</v>
      </c>
      <c r="C22" s="6">
        <f>$B$6+($B$5-$B$6)*B22</f>
        <v/>
      </c>
      <c r="D22" s="13">
        <f>B22*100</f>
        <v/>
      </c>
      <c r="E22" s="11">
        <f>IF(B22&gt;1,"extension_up",IF(B22&lt;0,"extension_down","inside"))</f>
        <v/>
      </c>
      <c r="F22" s="11">
        <f>IF(ABS(C22-$B$7)&lt;0.000001,"at-price",IF(C22&lt;$B$7,"support","resistance"))</f>
        <v/>
      </c>
    </row>
    <row r="23">
      <c r="A23" s="11" t="n">
        <v>10</v>
      </c>
      <c r="B23" s="12" t="n">
        <v>1.7973</v>
      </c>
      <c r="C23" s="6">
        <f>$B$6+($B$5-$B$6)*B23</f>
        <v/>
      </c>
      <c r="D23" s="13">
        <f>B23*100</f>
        <v/>
      </c>
      <c r="E23" s="11">
        <f>IF(B23&gt;1,"extension_up",IF(B23&lt;0,"extension_down","inside"))</f>
        <v/>
      </c>
      <c r="F23" s="11">
        <f>IF(ABS(C23-$B$7)&lt;0.000001,"at-price",IF(C23&lt;$B$7,"support","resistance"))</f>
        <v/>
      </c>
    </row>
    <row r="24">
      <c r="A24" s="11" t="n">
        <v>11</v>
      </c>
      <c r="B24" s="12" t="n">
        <v>-0.1987</v>
      </c>
      <c r="C24" s="6">
        <f>$B$6+($B$5-$B$6)*B24</f>
        <v/>
      </c>
      <c r="D24" s="13">
        <f>B24*100</f>
        <v/>
      </c>
      <c r="E24" s="11">
        <f>IF(B24&gt;1,"extension_up",IF(B24&lt;0,"extension_down","inside"))</f>
        <v/>
      </c>
      <c r="F24" s="11">
        <f>IF(ABS(C24-$B$7)&lt;0.000001,"at-price",IF(C24&lt;$B$7,"support","resistance"))</f>
        <v/>
      </c>
    </row>
    <row r="25">
      <c r="A25" s="11" t="n">
        <v>12</v>
      </c>
      <c r="B25" s="12" t="n">
        <v>-0.0987</v>
      </c>
      <c r="C25" s="6">
        <f>$B$6+($B$5-$B$6)*B25</f>
        <v/>
      </c>
      <c r="D25" s="13">
        <f>B25*100</f>
        <v/>
      </c>
      <c r="E25" s="11">
        <f>IF(B25&gt;1,"extension_up",IF(B25&lt;0,"extension_down","inside"))</f>
        <v/>
      </c>
      <c r="F25" s="11">
        <f>IF(ABS(C25-$B$7)&lt;0.000001,"at-price",IF(C25&lt;$B$7,"support","resistance"))</f>
        <v/>
      </c>
    </row>
    <row r="26">
      <c r="A26" s="11" t="n">
        <v>13</v>
      </c>
      <c r="B26" s="12" t="n">
        <v>-0.7973</v>
      </c>
      <c r="C26" s="6">
        <f>$B$6+($B$5-$B$6)*B26</f>
        <v/>
      </c>
      <c r="D26" s="13">
        <f>B26*100</f>
        <v/>
      </c>
      <c r="E26" s="11">
        <f>IF(B26&gt;1,"extension_up",IF(B26&lt;0,"extension_down","inside"))</f>
        <v/>
      </c>
      <c r="F26" s="11">
        <f>IF(ABS(C26-$B$7)&lt;0.000001,"at-price",IF(C26&lt;$B$7,"support","resistance"))</f>
        <v/>
      </c>
    </row>
    <row r="27">
      <c r="A27" s="11" t="n">
        <v>14</v>
      </c>
      <c r="B27" s="12" t="n">
        <v>0.3973</v>
      </c>
      <c r="C27" s="6">
        <f>$B$6+($B$5-$B$6)*B27</f>
        <v/>
      </c>
      <c r="D27" s="13">
        <f>B27*100</f>
        <v/>
      </c>
      <c r="E27" s="11">
        <f>IF(B27&gt;1,"extension_up",IF(B27&lt;0,"extension_down","inside"))</f>
        <v/>
      </c>
      <c r="F27" s="11">
        <f>IF(ABS(C27-$B$7)&lt;0.000001,"at-price",IF(C27&lt;$B$7,"support","resistance"))</f>
        <v/>
      </c>
    </row>
    <row r="28">
      <c r="A28" s="11" t="n">
        <v>15</v>
      </c>
      <c r="B28" s="12" t="n">
        <v>1.0993</v>
      </c>
      <c r="C28" s="6">
        <f>$B$6+($B$5-$B$6)*B28</f>
        <v/>
      </c>
      <c r="D28" s="13">
        <f>B28*100</f>
        <v/>
      </c>
      <c r="E28" s="11">
        <f>IF(B28&gt;1,"extension_up",IF(B28&lt;0,"extension_down","inside"))</f>
        <v/>
      </c>
      <c r="F28" s="11">
        <f>IF(ABS(C28-$B$7)&lt;0.000001,"at-price",IF(C28&lt;$B$7,"support","resistance"))</f>
        <v/>
      </c>
    </row>
    <row r="30">
      <c r="A30" s="3" t="inlineStr">
        <is>
          <t>SIGNAL &amp; RISK — auto-selected ONLY from the 15 FU levels above</t>
        </is>
      </c>
    </row>
    <row r="31">
      <c r="A31" s="4" t="inlineStr">
        <is>
          <t>Entry (current price)</t>
        </is>
      </c>
      <c r="B31" s="6">
        <f>IF($B$9="WAIT","—",$B$7)</f>
        <v/>
      </c>
    </row>
    <row r="32">
      <c r="A32" s="4" t="inlineStr">
        <is>
          <t>Anchor (support if BUY / resistance if SELL)</t>
        </is>
      </c>
      <c r="B32" s="6">
        <f>IF($B$9="BUY",MAXIFS($C$14:$C$28,$C$14:$C$28,"&lt;="&amp;$B$7),IF($B$9="SELL",MINIFS($C$14:$C$28,$C$14:$C$28,"&gt;="&amp;$B$7),"—"))</f>
        <v/>
      </c>
    </row>
    <row r="33">
      <c r="A33" s="4" t="inlineStr">
        <is>
          <t>Stop-Loss  (next FU level beyond anchor)</t>
        </is>
      </c>
      <c r="B33" s="14">
        <f>IF($B$9="BUY",IF(COUNTIFS($C$14:$C$28,"&lt;"&amp;B32)&gt;0,MAXIFS($C$14:$C$28,$C$14:$C$28,"&lt;"&amp;B32),"n/a"),IF($B$9="SELL",IF(COUNTIFS($C$14:$C$28,"&gt;"&amp;B32)&gt;0,MINIFS($C$14:$C$28,$C$14:$C$28,"&gt;"&amp;B32),"n/a"),"—"))</f>
        <v/>
      </c>
    </row>
    <row r="34">
      <c r="A34" s="4" t="inlineStr">
        <is>
          <t>Take-Profit 1  (next FU level)</t>
        </is>
      </c>
      <c r="B34" s="6">
        <f>IF($B$9="BUY",IF(COUNTIFS($C$14:$C$28,"&gt;"&amp;$B$7)&gt;0,MINIFS($C$14:$C$28,$C$14:$C$28,"&gt;"&amp;$B$7),"n/a"),IF($B$9="SELL",IF(COUNTIFS($C$14:$C$28,"&lt;"&amp;$B$7)&gt;0,MAXIFS($C$14:$C$28,$C$14:$C$28,"&lt;"&amp;$B$7),"n/a"),"—"))</f>
        <v/>
      </c>
    </row>
    <row r="35">
      <c r="A35" s="4" t="inlineStr">
        <is>
          <t>Take-Profit 2</t>
        </is>
      </c>
      <c r="B35" s="6">
        <f>IF($B$9="BUY",IF(AND(ISNUMBER(B34),COUNTIFS($C$14:$C$28,"&gt;"&amp;B34)&gt;0),MINIFS($C$14:$C$28,$C$14:$C$28,"&gt;"&amp;B34),"n/a"),IF($B$9="SELL",IF(AND(ISNUMBER(B34),COUNTIFS($C$14:$C$28,"&lt;"&amp;B34)&gt;0),MAXIFS($C$14:$C$28,$C$14:$C$28,"&lt;"&amp;B34),"n/a"),"—"))</f>
        <v/>
      </c>
    </row>
    <row r="36">
      <c r="A36" s="4" t="inlineStr">
        <is>
          <t>Take-Profit 3</t>
        </is>
      </c>
      <c r="B36" s="6">
        <f>IF($B$9="BUY",IF(AND(ISNUMBER(B35),COUNTIFS($C$14:$C$28,"&gt;"&amp;B35)&gt;0),MINIFS($C$14:$C$28,$C$14:$C$28,"&gt;"&amp;B35),"n/a"),IF($B$9="SELL",IF(AND(ISNUMBER(B35),COUNTIFS($C$14:$C$28,"&lt;"&amp;B35)&gt;0),MAXIFS($C$14:$C$28,$C$14:$C$28,"&lt;"&amp;B35),"n/a"),"—"))</f>
        <v/>
      </c>
    </row>
    <row r="37">
      <c r="A37" s="4" t="inlineStr">
        <is>
          <t>Risk per unit  (|Entry − SL|)</t>
        </is>
      </c>
      <c r="B37" s="6">
        <f>IF($B$9="BUY",IF(ISNUMBER(B33),B31-B33,"n/a"),IF($B$9="SELL",IF(ISNUMBER(B33),B33-B31,"n/a"),"—"))</f>
        <v/>
      </c>
    </row>
    <row r="38">
      <c r="A38" s="4" t="inlineStr">
        <is>
          <t>Risk/Reward → TP1</t>
        </is>
      </c>
      <c r="B38" s="15">
        <f>IF(AND(ISNUMBER(B34),ISNUMBER(B37),B37&gt;0),IF($B$9="BUY",(B34-B31)/B37,IF($B$9="SELL",(B31-B34)/B37,"—")),"n/a")</f>
        <v/>
      </c>
    </row>
    <row r="39">
      <c r="A39" s="4" t="inlineStr">
        <is>
          <t>Risk/Reward → TP2</t>
        </is>
      </c>
      <c r="B39" s="15">
        <f>IF(AND(ISNUMBER(B35),ISNUMBER(B37),B37&gt;0),IF($B$9="BUY",(B35-B31)/B37,IF($B$9="SELL",(B31-B35)/B37,"—")),"n/a")</f>
        <v/>
      </c>
    </row>
    <row r="40">
      <c r="A40" s="4" t="inlineStr">
        <is>
          <t>Risk/Reward → TP3</t>
        </is>
      </c>
      <c r="B40" s="15">
        <f>IF(AND(ISNUMBER(B36),ISNUMBER(B37),B37&gt;0),IF($B$9="BUY",(B36-B31)/B37,IF($B$9="SELL",(B31-B36)/B37,"—")),"n/a")</f>
        <v/>
      </c>
    </row>
    <row r="41">
      <c r="A41" s="16" t="inlineStr">
        <is>
          <t>FINAL SIGNAL  (validity-gated)</t>
        </is>
      </c>
      <c r="B41" s="17">
        <f>IF($B$9="WAIT","WAIT",IF(OR(NOT(ISNUMBER(B33)),NOT(ISNUMBER(B34)),NOT(ISNUMBER(B38)),B38&lt;$B$10),"WAIT (downgraded)",$B$9))</f>
        <v/>
      </c>
    </row>
    <row r="42" ht="28" customHeight="1">
      <c r="A42" s="18">
        <f>IF($B$9="WAIT","No directional bias supplied — set Direction to the app verdict.",IF(NOT(ISNUMBER(B33)),"Downgraded: no FU Stop-Loss beyond the anchor at this price.",IF(NOT(ISNUMBER(B34)),"Downgraded: no FU Take-Profit in the trade direction.",IF(B38&lt;$B$10,"Downgraded: Risk/Reward for TP1 ("&amp;TEXT(B38,"0.00")&amp;") below minimum "&amp;TEXT($B$10,"0.00")&amp;".","Valid set-up: SL and TP1/2/3 are all members of the 15 FU levels."))))</f>
        <v/>
      </c>
    </row>
    <row r="44" ht="46" customHeight="1">
      <c r="A44" s="19" t="inlineStr">
        <is>
          <t>How it works:  the anchor is the FU level the price sits on (MAXIFS ≤ price for BUY, MINIFS ≥ price for SELL); the Stop-Loss is the very next FU level beyond it; TP1/2/3 are the next FU levels in the trade direction. Identical to futas_engine.generate_signal(). Needs Excel 2019+/Microsoft 365 or LibreOffice Calc for MAXIFS/MINIFS. Open the file once so the workbook recalculates.</t>
        </is>
      </c>
    </row>
  </sheetData>
  <mergeCells count="4">
    <mergeCell ref="A2:F2"/>
    <mergeCell ref="A44:F44"/>
    <mergeCell ref="A1:F1"/>
    <mergeCell ref="A42:F42"/>
  </mergeCells>
  <dataValidations count="1">
    <dataValidation sqref="B9" showDropDown="0" showInputMessage="0" showErrorMessage="0" allowBlank="0" error="Choose BUY, SELL or WAIT (the verdict from the FUTAS app)." prompt="Pick the directional bias produced by the FUTAS engine." type="list">
      <formula1>"BUY,SELL,WAIT"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3" customWidth="1" min="3" max="3"/>
    <col width="16" customWidth="1" min="4" max="4"/>
    <col width="30" customWidth="1" min="5" max="5"/>
  </cols>
  <sheetData>
    <row r="1" ht="24" customHeight="1">
      <c r="A1" s="1" t="inlineStr">
        <is>
          <t>The 15 Fibonacci Urvin Adaptive Coefficients (the scientific constant)</t>
        </is>
      </c>
    </row>
    <row r="2">
      <c r="A2" s="2" t="inlineStr">
        <is>
          <t>Order is fixed by the dissertation research. Every level: P = Low + (High − Low) × K.</t>
        </is>
      </c>
    </row>
    <row r="4">
      <c r="A4" s="10" t="inlineStr">
        <is>
          <t>#</t>
        </is>
      </c>
      <c r="B4" s="10" t="inlineStr">
        <is>
          <t>K</t>
        </is>
      </c>
      <c r="C4" s="10" t="inlineStr">
        <is>
          <t>% of range</t>
        </is>
      </c>
      <c r="D4" s="10" t="inlineStr">
        <is>
          <t>Zone</t>
        </is>
      </c>
      <c r="E4" s="10" t="inlineStr">
        <is>
          <t>Label</t>
        </is>
      </c>
    </row>
    <row r="5">
      <c r="A5" s="11" t="n">
        <v>1</v>
      </c>
      <c r="B5" s="12" t="n">
        <v>1</v>
      </c>
      <c r="C5" s="20" t="n">
        <v>100</v>
      </c>
      <c r="D5" s="11" t="inlineStr">
        <is>
          <t>inside</t>
        </is>
      </c>
      <c r="E5" s="21" t="inlineStr">
        <is>
          <t>FU 1 (100.00%)</t>
        </is>
      </c>
    </row>
    <row r="6">
      <c r="A6" s="11" t="n">
        <v>2</v>
      </c>
      <c r="B6" s="12" t="n">
        <v>0</v>
      </c>
      <c r="C6" s="20" t="n">
        <v>0</v>
      </c>
      <c r="D6" s="11" t="inlineStr">
        <is>
          <t>inside</t>
        </is>
      </c>
      <c r="E6" s="21" t="inlineStr">
        <is>
          <t>FU 0 (0.00%)</t>
        </is>
      </c>
    </row>
    <row r="7">
      <c r="A7" s="11" t="n">
        <v>3</v>
      </c>
      <c r="B7" s="12" t="n">
        <v>0.5</v>
      </c>
      <c r="C7" s="20" t="n">
        <v>50</v>
      </c>
      <c r="D7" s="11" t="inlineStr">
        <is>
          <t>inside</t>
        </is>
      </c>
      <c r="E7" s="21" t="inlineStr">
        <is>
          <t>FU 0.5 (50.00%)</t>
        </is>
      </c>
    </row>
    <row r="8">
      <c r="A8" s="11" t="n">
        <v>4</v>
      </c>
      <c r="B8" s="12" t="n">
        <v>0.5993000000000001</v>
      </c>
      <c r="C8" s="20" t="n">
        <v>59.93</v>
      </c>
      <c r="D8" s="11" t="inlineStr">
        <is>
          <t>inside</t>
        </is>
      </c>
      <c r="E8" s="21" t="inlineStr">
        <is>
          <t>FU 0.5993 (59.93%)</t>
        </is>
      </c>
    </row>
    <row r="9">
      <c r="A9" s="11" t="n">
        <v>5</v>
      </c>
      <c r="B9" s="12" t="n">
        <v>-0.6993</v>
      </c>
      <c r="C9" s="20" t="n">
        <v>-69.93000000000001</v>
      </c>
      <c r="D9" s="11" t="inlineStr">
        <is>
          <t>extension_down</t>
        </is>
      </c>
      <c r="E9" s="21" t="inlineStr">
        <is>
          <t>FU -0.6993 (-69.93%)</t>
        </is>
      </c>
    </row>
    <row r="10">
      <c r="A10" s="11" t="n">
        <v>6</v>
      </c>
      <c r="B10" s="12" t="n">
        <v>1.5993</v>
      </c>
      <c r="C10" s="20" t="n">
        <v>159.93</v>
      </c>
      <c r="D10" s="11" t="inlineStr">
        <is>
          <t>extension_up</t>
        </is>
      </c>
      <c r="E10" s="21" t="inlineStr">
        <is>
          <t>FU 1.5993 (159.93%)</t>
        </is>
      </c>
    </row>
    <row r="11">
      <c r="A11" s="11" t="n">
        <v>7</v>
      </c>
      <c r="B11" s="12" t="n">
        <v>-0.5993000000000001</v>
      </c>
      <c r="C11" s="20" t="n">
        <v>-59.93</v>
      </c>
      <c r="D11" s="11" t="inlineStr">
        <is>
          <t>extension_down</t>
        </is>
      </c>
      <c r="E11" s="21" t="inlineStr">
        <is>
          <t>FU -0.5993 (-59.93%)</t>
        </is>
      </c>
    </row>
    <row r="12">
      <c r="A12" s="11" t="n">
        <v>8</v>
      </c>
      <c r="B12" s="12" t="n">
        <v>1.1987</v>
      </c>
      <c r="C12" s="20" t="n">
        <v>119.87</v>
      </c>
      <c r="D12" s="11" t="inlineStr">
        <is>
          <t>extension_up</t>
        </is>
      </c>
      <c r="E12" s="21" t="inlineStr">
        <is>
          <t>FU 1.1987 (119.87%)</t>
        </is>
      </c>
    </row>
    <row r="13">
      <c r="A13" s="11" t="n">
        <v>9</v>
      </c>
      <c r="B13" s="12" t="n">
        <v>1.6987</v>
      </c>
      <c r="C13" s="20" t="n">
        <v>169.87</v>
      </c>
      <c r="D13" s="11" t="inlineStr">
        <is>
          <t>extension_up</t>
        </is>
      </c>
      <c r="E13" s="21" t="inlineStr">
        <is>
          <t>FU 1.6987 (169.87%)</t>
        </is>
      </c>
    </row>
    <row r="14">
      <c r="A14" s="11" t="n">
        <v>10</v>
      </c>
      <c r="B14" s="12" t="n">
        <v>1.7973</v>
      </c>
      <c r="C14" s="20" t="n">
        <v>179.73</v>
      </c>
      <c r="D14" s="11" t="inlineStr">
        <is>
          <t>extension_up</t>
        </is>
      </c>
      <c r="E14" s="21" t="inlineStr">
        <is>
          <t>FU 1.7973 (179.73%)</t>
        </is>
      </c>
    </row>
    <row r="15">
      <c r="A15" s="11" t="n">
        <v>11</v>
      </c>
      <c r="B15" s="12" t="n">
        <v>-0.1987</v>
      </c>
      <c r="C15" s="20" t="n">
        <v>-19.87</v>
      </c>
      <c r="D15" s="11" t="inlineStr">
        <is>
          <t>extension_down</t>
        </is>
      </c>
      <c r="E15" s="21" t="inlineStr">
        <is>
          <t>FU -0.1987 (-19.87%)</t>
        </is>
      </c>
    </row>
    <row r="16">
      <c r="A16" s="11" t="n">
        <v>12</v>
      </c>
      <c r="B16" s="12" t="n">
        <v>-0.0987</v>
      </c>
      <c r="C16" s="20" t="n">
        <v>-9.869999999999999</v>
      </c>
      <c r="D16" s="11" t="inlineStr">
        <is>
          <t>extension_down</t>
        </is>
      </c>
      <c r="E16" s="21" t="inlineStr">
        <is>
          <t>FU -0.0987 (-9.87%)</t>
        </is>
      </c>
    </row>
    <row r="17">
      <c r="A17" s="11" t="n">
        <v>13</v>
      </c>
      <c r="B17" s="12" t="n">
        <v>-0.7973</v>
      </c>
      <c r="C17" s="20" t="n">
        <v>-79.73</v>
      </c>
      <c r="D17" s="11" t="inlineStr">
        <is>
          <t>extension_down</t>
        </is>
      </c>
      <c r="E17" s="21" t="inlineStr">
        <is>
          <t>FU -0.7973 (-79.73%)</t>
        </is>
      </c>
    </row>
    <row r="18">
      <c r="A18" s="11" t="n">
        <v>14</v>
      </c>
      <c r="B18" s="12" t="n">
        <v>0.3973</v>
      </c>
      <c r="C18" s="20" t="n">
        <v>39.73</v>
      </c>
      <c r="D18" s="11" t="inlineStr">
        <is>
          <t>inside</t>
        </is>
      </c>
      <c r="E18" s="21" t="inlineStr">
        <is>
          <t>FU 0.3973 (39.73%)</t>
        </is>
      </c>
    </row>
    <row r="19">
      <c r="A19" s="11" t="n">
        <v>15</v>
      </c>
      <c r="B19" s="12" t="n">
        <v>1.0993</v>
      </c>
      <c r="C19" s="20" t="n">
        <v>109.93</v>
      </c>
      <c r="D19" s="11" t="inlineStr">
        <is>
          <t>extension_up</t>
        </is>
      </c>
      <c r="E19" s="21" t="inlineStr">
        <is>
          <t>FU 1.0993 (109.93%)</t>
        </is>
      </c>
    </row>
    <row r="21" ht="30" customHeight="1">
      <c r="A21" s="19" t="inlineStr">
        <is>
          <t>Integrity signature (must stay identical in any published build):  1, 0, 0.5, 0.5993, -0.6993, 1.5993, -0.5993, 1.1987, 1.6987, 1.7973, -0.1987, -0.0987, -0.7973, 0.3973, 1.0993</t>
        </is>
      </c>
    </row>
  </sheetData>
  <mergeCells count="3">
    <mergeCell ref="A2:E2"/>
    <mergeCell ref="A1:E1"/>
    <mergeCell ref="A21:E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1" t="inlineStr">
        <is>
          <t>Worked Example — static reference (computed by futas_engine.analyze)</t>
        </is>
      </c>
    </row>
    <row r="2">
      <c r="A2" s="2" t="inlineStr">
        <is>
          <t>Source: sample_data/XAUUSD_daily.csv. The live 'Calculator' sheet must reproduce these numbers when fed the same High/Low/Current/Direction.</t>
        </is>
      </c>
    </row>
    <row r="4">
      <c r="A4" s="4" t="inlineStr">
        <is>
          <t>Asset</t>
        </is>
      </c>
      <c r="B4" s="22" t="inlineStr">
        <is>
          <t>XAUUSD</t>
        </is>
      </c>
    </row>
    <row r="5">
      <c r="A5" s="4" t="inlineStr">
        <is>
          <t>Bars analysed</t>
        </is>
      </c>
      <c r="B5" s="22" t="n">
        <v>140</v>
      </c>
    </row>
    <row r="6">
      <c r="A6" s="4" t="inlineStr">
        <is>
          <t>High</t>
        </is>
      </c>
      <c r="B6" s="6" t="n">
        <v>2549.97</v>
      </c>
    </row>
    <row r="7">
      <c r="A7" s="4" t="inlineStr">
        <is>
          <t>Low</t>
        </is>
      </c>
      <c r="B7" s="6" t="n">
        <v>2341.74</v>
      </c>
    </row>
    <row r="8">
      <c r="A8" s="4" t="inlineStr">
        <is>
          <t>Range</t>
        </is>
      </c>
      <c r="B8" s="6" t="n">
        <v>208.23</v>
      </c>
    </row>
    <row r="9">
      <c r="A9" s="4" t="inlineStr">
        <is>
          <t>Current Price (entry)</t>
        </is>
      </c>
      <c r="B9" s="6" t="n">
        <v>2496.63</v>
      </c>
    </row>
    <row r="10">
      <c r="A10" s="4" t="inlineStr">
        <is>
          <t>Trend</t>
        </is>
      </c>
      <c r="B10" s="22" t="inlineStr">
        <is>
          <t>UPTREND</t>
        </is>
      </c>
    </row>
    <row r="11">
      <c r="A11" s="4" t="inlineStr">
        <is>
          <t>Phase</t>
        </is>
      </c>
      <c r="B11" s="22" t="inlineStr">
        <is>
          <t>CORRECTION</t>
        </is>
      </c>
    </row>
    <row r="12">
      <c r="A12" s="4" t="inlineStr">
        <is>
          <t>Signal</t>
        </is>
      </c>
      <c r="B12" s="22" t="inlineStr">
        <is>
          <t>BUY</t>
        </is>
      </c>
    </row>
    <row r="13">
      <c r="A13" s="4" t="inlineStr">
        <is>
          <t>Confidence</t>
        </is>
      </c>
      <c r="B13" s="22" t="inlineStr">
        <is>
          <t>HIGH (0.85)</t>
        </is>
      </c>
    </row>
    <row r="15">
      <c r="A15" s="3" t="inlineStr">
        <is>
          <t>Risk management — every value is a FU level</t>
        </is>
      </c>
    </row>
    <row r="16">
      <c r="A16" s="10" t="inlineStr"/>
      <c r="B16" s="10" t="inlineStr">
        <is>
          <t>Price</t>
        </is>
      </c>
      <c r="C16" s="10" t="inlineStr">
        <is>
          <t>Δ from entry</t>
        </is>
      </c>
      <c r="D16" s="10" t="inlineStr">
        <is>
          <t>Risk/Reward</t>
        </is>
      </c>
    </row>
    <row r="17">
      <c r="A17" s="23" t="inlineStr">
        <is>
          <t>Entry</t>
        </is>
      </c>
      <c r="B17" s="6" t="n">
        <v>2496.63</v>
      </c>
      <c r="C17" s="6" t="n">
        <v>0</v>
      </c>
      <c r="D17" s="11" t="inlineStr">
        <is>
          <t>—</t>
        </is>
      </c>
    </row>
    <row r="18">
      <c r="A18" s="23" t="inlineStr">
        <is>
          <t>Stop-Loss</t>
        </is>
      </c>
      <c r="B18" s="6" t="n">
        <v>2445.85</v>
      </c>
      <c r="C18" s="6" t="n">
        <v>-50.78</v>
      </c>
      <c r="D18" s="11" t="inlineStr">
        <is>
          <t>—</t>
        </is>
      </c>
    </row>
    <row r="19">
      <c r="A19" s="23" t="inlineStr">
        <is>
          <t>Take-Profit 1</t>
        </is>
      </c>
      <c r="B19" s="6" t="n">
        <v>2549.97</v>
      </c>
      <c r="C19" s="6" t="n">
        <v>53.34</v>
      </c>
      <c r="D19" s="15" t="n">
        <v>1.05</v>
      </c>
    </row>
    <row r="20">
      <c r="A20" s="23" t="inlineStr">
        <is>
          <t>Take-Profit 2</t>
        </is>
      </c>
      <c r="B20" s="6" t="n">
        <v>2570.65</v>
      </c>
      <c r="C20" s="6" t="n">
        <v>74.02</v>
      </c>
      <c r="D20" s="15" t="n">
        <v>1.46</v>
      </c>
    </row>
    <row r="21">
      <c r="A21" s="23" t="inlineStr">
        <is>
          <t>Take-Profit 3</t>
        </is>
      </c>
      <c r="B21" s="6" t="n">
        <v>2591.35</v>
      </c>
      <c r="C21" s="6" t="n">
        <v>94.72</v>
      </c>
      <c r="D21" s="15" t="n">
        <v>1.87</v>
      </c>
    </row>
    <row r="23" ht="30" customHeight="1">
      <c r="A23" s="19" t="inlineStr">
        <is>
          <t>Verification: each SL/TP price above is one of the 15 numbers on the 'Coefficients' sheet evaluated at this High/Low — proving SL and TP are selected only from the FU levels.</t>
        </is>
      </c>
    </row>
  </sheetData>
  <mergeCells count="3">
    <mergeCell ref="A2:E2"/>
    <mergeCell ref="A1:E1"/>
    <mergeCell ref="A23:E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4" customHeight="1">
      <c r="A1" s="1" t="inlineStr">
        <is>
          <t>How to use this workbook</t>
        </is>
      </c>
    </row>
    <row r="2">
      <c r="A2" s="24" t="inlineStr"/>
    </row>
    <row r="3">
      <c r="A3" s="24" t="inlineStr">
        <is>
          <t>1.  Open the 'Calculator' sheet. Type four inputs only:</t>
        </is>
      </c>
    </row>
    <row r="4">
      <c r="A4" s="24" t="inlineStr">
        <is>
          <t xml:space="preserve">       • High  (B5)  — the high of the analysed range (the FUTAS app detects it automatically)</t>
        </is>
      </c>
    </row>
    <row r="5">
      <c r="A5" s="24" t="inlineStr">
        <is>
          <t xml:space="preserve">       • Low   (B6)  — the low of the analysed range</t>
        </is>
      </c>
    </row>
    <row r="6">
      <c r="A6" s="24" t="inlineStr">
        <is>
          <t xml:space="preserve">       • Current Price (B7) — the live price; this is the Entry</t>
        </is>
      </c>
    </row>
    <row r="7">
      <c r="A7" s="24" t="inlineStr">
        <is>
          <t xml:space="preserve">       • Direction (B9) — BUY / SELL / WAIT, copied from the FUTAS app's verdict</t>
        </is>
      </c>
    </row>
    <row r="8">
      <c r="A8" s="24" t="inlineStr"/>
    </row>
    <row r="9">
      <c r="A9" s="24" t="inlineStr">
        <is>
          <t>2.  Everything else is computed by formulas:</t>
        </is>
      </c>
    </row>
    <row r="10">
      <c r="A10" s="24" t="inlineStr">
        <is>
          <t xml:space="preserve">       • Column C builds the 15 levels with  P = Low + (High − Low) × K.</t>
        </is>
      </c>
    </row>
    <row r="11">
      <c r="A11" s="24" t="inlineStr">
        <is>
          <t xml:space="preserve">       • Stop-Loss is the next FU level *beyond* the support (BUY) or resistance (SELL).</t>
        </is>
      </c>
    </row>
    <row r="12">
      <c r="A12" s="24" t="inlineStr">
        <is>
          <t xml:space="preserve">       • TP1/TP2/TP3 are the next FU levels in the trade direction.</t>
        </is>
      </c>
    </row>
    <row r="13">
      <c r="A13" s="24" t="inlineStr">
        <is>
          <t xml:space="preserve">       • Risk/Reward = reward ÷ risk for each TP.</t>
        </is>
      </c>
    </row>
    <row r="14">
      <c r="A14" s="24" t="inlineStr">
        <is>
          <t xml:space="preserve">       • FINAL SIGNAL downgrades to WAIT if no SL/TP exists or if RR(TP1) &lt; the minimum (B10).</t>
        </is>
      </c>
    </row>
    <row r="15">
      <c r="A15" s="24" t="inlineStr"/>
    </row>
    <row r="16">
      <c r="A16" s="24" t="inlineStr">
        <is>
          <t>3.  Why a spreadsheet *and* a Python engine?</t>
        </is>
      </c>
    </row>
    <row r="17">
      <c r="A17" s="24" t="inlineStr">
        <is>
          <t xml:space="preserve">       The trend, swing and market-structure detection (fractals, BOS/CHoCH, regression slope)</t>
        </is>
      </c>
    </row>
    <row r="18">
      <c r="A18" s="24" t="inlineStr">
        <is>
          <t xml:space="preserve">       live in futas_engine.py because they need historical bars. The spreadsheet reproduces the</t>
        </is>
      </c>
    </row>
    <row r="19">
      <c r="A19" s="24" t="inlineStr">
        <is>
          <t xml:space="preserve">       deterministic part — turning the High/Low/Direction verdict into FU levels, SL, TP and RR —</t>
        </is>
      </c>
    </row>
    <row r="20">
      <c r="A20" s="24" t="inlineStr">
        <is>
          <t xml:space="preserve">       so a reviewer can audit the risk arithmetic by hand, with no code.</t>
        </is>
      </c>
    </row>
    <row r="21">
      <c r="A21" s="24" t="inlineStr"/>
    </row>
    <row r="22">
      <c r="A22" s="24" t="inlineStr">
        <is>
          <t>4.  Scientific guarantee:  no Entry/SL/TP number is ever typed in or copied from an old analysis.</t>
        </is>
      </c>
    </row>
    <row r="23">
      <c r="A23" s="24" t="inlineStr">
        <is>
          <t xml:space="preserve">       Entry is the live price; SL and every TP are selected only from the 15 calculated FU levels.</t>
        </is>
      </c>
    </row>
    <row r="24">
      <c r="A24" s="24" t="inlineStr"/>
    </row>
    <row r="25">
      <c r="A25" s="24" t="inlineStr">
        <is>
          <t>5.  Requirements:  MAXIFS / MINIFS need Excel 2019, Microsoft 365, or LibreOffice Calc 5.2+.</t>
        </is>
      </c>
    </row>
    <row r="26">
      <c r="A26" s="24" t="inlineStr">
        <is>
          <t xml:space="preserve">       openpyxl writes the formulas but does not pre-compute them — open the file once to recalc.</t>
        </is>
      </c>
    </row>
    <row r="27">
      <c r="A27" s="24" t="inlineStr"/>
    </row>
    <row r="28">
      <c r="A28" s="24" t="inlineStr">
        <is>
          <t>This workbook is a scientific research and algorithm-testing instrument. It does NOT provide</t>
        </is>
      </c>
    </row>
    <row r="29">
      <c r="A29" s="25" t="inlineStr">
        <is>
          <t>financial advice and must not be used as the sole basis for any trading decision.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2026-06-20T20:22:30Z</dcterms:created>
  <dcterms:modified xsi:type="dcterms:W3CDTF">2026-06-20T20:22:30Z</dcterms:modified>
</cp:coreProperties>
</file>